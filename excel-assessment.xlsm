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MapUp-Data-Assessment-F-main\"/>
    </mc:Choice>
  </mc:AlternateContent>
  <xr:revisionPtr revIDLastSave="0" documentId="13_ncr:1_{75A0A86D-1554-4433-810A-B21DC543BD9E}" xr6:coauthVersionLast="47" xr6:coauthVersionMax="47" xr10:uidLastSave="{00000000-0000-0000-0000-000000000000}"/>
  <bookViews>
    <workbookView xWindow="-108" yWindow="-108" windowWidth="23256" windowHeight="125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 calcMode="manual"/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D21" i="19"/>
  <c r="D20" i="19"/>
  <c r="D18" i="19"/>
  <c r="D17" i="19"/>
  <c r="D15" i="19"/>
  <c r="D14" i="19"/>
  <c r="D13" i="19"/>
  <c r="D16" i="19"/>
  <c r="C22" i="19" s="1"/>
  <c r="D19" i="19"/>
  <c r="D12" i="19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30" i="18" s="1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29" i="18" s="1"/>
  <c r="E8" i="18"/>
  <c r="E7" i="18"/>
  <c r="E6" i="18"/>
  <c r="E28" i="18" s="1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28" i="18" s="1"/>
  <c r="D6" i="18"/>
  <c r="D30" i="18" s="1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9" i="18"/>
  <c r="C8" i="18"/>
  <c r="C29" i="18" s="1"/>
  <c r="C7" i="18"/>
  <c r="C30" i="18" s="1"/>
  <c r="C6" i="18"/>
  <c r="C10" i="18"/>
  <c r="B6" i="18"/>
  <c r="B30" i="18" s="1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C5" i="15"/>
  <c r="H41" i="1"/>
  <c r="B28" i="18" l="1"/>
  <c r="C28" i="18"/>
  <c r="E30" i="18"/>
  <c r="F28" i="18"/>
  <c r="B29" i="18"/>
  <c r="D29" i="18"/>
  <c r="F29" i="18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<sst xmlns="http://schemas.openxmlformats.org/spreadsheetml/2006/main" count="407" uniqueCount="184">
  <si>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</si>
  <si>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</si>
  <si>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</si>
  <si>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</si>
  <si>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</si>
  <si>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</si>
  <si>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</si>
  <si>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</si>
  <si>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</si>
  <si>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</si>
  <si>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</si>
  <si>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</si>
  <si>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</si>
  <si>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</si>
  <si>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</si>
  <si>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</si>
  <si>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</si>
  <si>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</si>
  <si>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</si>
  <si>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</si>
  <si>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</si>
  <si>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</si>
  <si>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</si>
  <si>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</si>
  <si>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</si>
  <si>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</si>
  <si>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</si>
  <si>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</si>
  <si>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</si>
  <si>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</si>
  <si>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</si>
  <si>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</si>
  <si>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</si>
  <si>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</si>
  <si>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</si>
  <si>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</si>
  <si>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</si>
  <si>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</si>
  <si>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</si>
  <si>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</si>
  <si>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</si>
  <si>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</si>
  <si>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</si>
  <si>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</si>
  <si>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</si>
  <si>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</si>
  <si>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</si>
  <si>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</si>
  <si>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</si>
  <si>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</si>
  <si>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</si>
  <si>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</si>
  <si>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</si>
  <si>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</si>
  <si>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</si>
  <si>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</si>
  <si>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</si>
  <si>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</si>
  <si>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</si>
  <si>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</si>
  <si>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</si>
  <si>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</si>
  <si>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</si>
  <si>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</si>
  <si>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</si>
  <si>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</si>
  <si>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</si>
  <si>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</si>
  <si>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</si>
  <si>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</si>
  <si>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</si>
  <si>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</si>
  <si>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</si>
  <si>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</si>
  <si>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</si>
  <si>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</si>
  <si>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</si>
  <si>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</si>
  <si>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</si>
  <si>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</si>
  <si>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</si>
  <si>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</si>
  <si>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</si>
  <si>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</si>
  <si>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</si>
  <si>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</si>
  <si>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</si>
  <si>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</si>
  <si>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</si>
  <si>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</si>
  <si>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</si>
  <si>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</si>
  <si>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</si>
  <si>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</si>
  <si>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</si>
  <si>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</si>
  <si>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</si>
  <si>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</si>
  <si>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</si>
  <si>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</si>
  <si>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</si>
  <si>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</si>
  <si>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</si>
  <si>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</si>
  <si>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</si>
  <si>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</si>
  <si>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</si>
  <si>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</si>
  <si>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</si>
  <si>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</si>
  <si>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</si>
  <si>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</si>
  <si>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</si>
  <si>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</si>
  <si>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</si>
  <si>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</si>
  <si>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</si>
  <si>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</si>
  <si>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</si>
  <si>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</si>
  <si>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</si>
  <si>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</si>
  <si>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</si>
  <si>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</si>
  <si>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</si>
  <si>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</si>
  <si>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</si>
  <si>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</si>
  <si>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</si>
  <si>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</si>
  <si>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</si>
  <si>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</si>
  <si>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</si>
  <si>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</si>
  <si>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</si>
  <si>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</si>
  <si>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</si>
  <si>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</si>
  <si>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</si>
  <si>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</si>
  <si>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</si>
  <si>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</si>
  <si>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</si>
  <si>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</si>
  <si>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</si>
  <si>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</si>
  <si>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</si>
  <si>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</si>
  <si>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</si>
  <si>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</si>
  <si>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</si>
  <si>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</si>
  <si>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</si>
  <si>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</si>
  <si>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</si>
  <si>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</si>
  <si>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</si>
  <si>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</si>
  <si>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</si>
  <si>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</si>
  <si>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</si>
  <si>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</si>
  <si>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</si>
  <si>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</si>
  <si>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</si>
  <si>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</si>
  <si>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</si>
  <si>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</si>
  <si>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</si>
  <si>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</si>
  <si>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</si>
  <si>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</si>
  <si>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</si>
  <si>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</si>
  <si>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</si>
  <si>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</si>
  <si>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</si>
  <si>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Task completed on the Dataset Sheet</t>
  </si>
  <si>
    <t>"=IFNA(value, value_if_na)"</t>
  </si>
  <si>
    <t>Sales After Substitution</t>
  </si>
  <si>
    <t>I tried to do the in same column but my excel is not supporting, so I created another column label as Sales after substitution.</t>
  </si>
  <si>
    <t>I have used "IFNA" function, in any cell if there is '#N/A' then this function will replace it by a replaceable value wherever '#N/A' appear in the range.</t>
  </si>
  <si>
    <t>I have used three function to solve this task 'INDEX', 'MATCH' and 'VLOOKUP'. 
First I started with the '=INDEX(range, row_num, [column_num])', selected its range array, 
then to give 'row_num' I use '=MATCH(lookup_value, lookup_array, [match_type])' 
inside match function i used a VLOOKUP because in table_C, name_1 column has a numeric_id (e.g. 10100, 10102 etc) in them, this numeric_id has a name as given in Table_B. 
In order to get this name for the numeric_id I have used VLOOKUP function for both the columns (name_1 &amp; name_2) in Table_C. 
After fetching the name of the numeric_id then I have selected the lookup array (A9:A18) of Table_A and for exact match I choose FALSE for match type.
Similar steps have repeated for name_2 column but for this I have selected the match lookup_array in row (A9:J9) of Table_A.
Close brackets press enter then I got the result.</t>
  </si>
  <si>
    <t>=INDEX($A$9:$J$18,MATCH(VLOOKUP(A23,$M$10:$N$18,2,0),$A$9:$A$18,0),MATCH(VLOOKUP(B23,$M$9:$N$18,2,0),$A$9:$J$9,0))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</si>
</sst>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71" fontId="3" fillId="0" borderId="0" xfId="0" applyNumberFormat="1" applyFont="1"/>
    <xf numFmtId="2" fontId="3" fillId="5" borderId="1" xfId="0" applyNumberFormat="1" applyFont="1" applyFill="1" applyBorder="1"/>
    <xf numFmtId="0" fontId="16" fillId="0" borderId="0" xfId="0" applyFont="1" applyAlignment="1">
      <alignment horizontal="left"/>
    </xf>
    <xf numFmtId="0" fontId="8" fillId="0" borderId="8" xfId="0" applyFont="1" applyBorder="1"/>
    <xf numFmtId="0" fontId="8" fillId="0" borderId="9" xfId="0" applyFont="1" applyBorder="1" applyAlignment="1">
      <alignment horizontal="right"/>
    </xf>
    <xf numFmtId="0" fontId="8" fillId="0" borderId="11" xfId="0" applyFont="1" applyBorder="1" applyAlignment="1">
      <alignment horizontal="right"/>
    </xf>
    <xf numFmtId="0" fontId="9" fillId="0" borderId="1" xfId="0" applyFont="1" applyBorder="1" applyAlignment="1">
      <alignment horizontal="center"/>
    </xf>
    <xf numFmtId="0" fontId="3" fillId="0" borderId="0" xfId="0" quotePrefix="1" applyFont="1"/>
    <xf numFmtId="0" fontId="3" fillId="0" borderId="0" xfId="0" applyFont="1" applyAlignment="1">
      <alignment horizontal="left" vertical="top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D19" sqref="D19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0" activePane="bottomLeft" state="frozen"/>
      <selection activeCell="L1" sqref="L1"/>
      <selection pane="bottomLeft" activeCell="N2" sqref="N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">
      <c r="H41" s="1">
        <f>SUMIF(H2:H40,"&gt;20")</f>
        <v>1473.0000000000002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G2:W40">
    <cfRule type="cellIs" dxfId="3" priority="3" operator="equal">
      <formula>0</formula>
    </cfRule>
    <cfRule type="cellIs" dxfId="2" priority="4" operator="lessThan">
      <formula>0</formula>
    </cfRule>
  </conditionalFormatting>
  <conditionalFormatting sqref="H41">
    <cfRule type="cellIs" dxfId="1" priority="1" operator="equal">
      <formula>0</formula>
    </cfRule>
    <cfRule type="cellIs" dxfId="0" priority="2" operator="lessThan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F14"/>
  <sheetViews>
    <sheetView showFormulas="1" zoomScaleNormal="100" workbookViewId="0">
      <selection activeCell="D14" sqref="D14"/>
    </sheetView>
  </sheetViews>
  <sheetFormatPr defaultColWidth="11" defaultRowHeight="14.4" x14ac:dyDescent="0.3"/>
  <cols>
    <col min="1" max="1" width="8.44140625" style="1" bestFit="1" customWidth="1"/>
    <col min="2" max="2" width="30.88671875" style="1" bestFit="1" customWidth="1"/>
    <col min="3" max="3" width="10" style="1" bestFit="1" customWidth="1"/>
    <col min="4" max="4" width="11" style="1"/>
    <col min="5" max="5" width="6.6640625" style="1" bestFit="1" customWidth="1"/>
    <col min="6" max="6" width="16" style="1" bestFit="1" customWidth="1"/>
    <col min="7" max="16384" width="11" style="1"/>
  </cols>
  <sheetData>
    <row r="1" spans="1:6" x14ac:dyDescent="0.3">
      <c r="A1" s="4" t="s">
        <v>47</v>
      </c>
      <c r="B1" s="4" t="s">
        <v>48</v>
      </c>
      <c r="C1" s="4" t="s">
        <v>44</v>
      </c>
      <c r="E1" s="4" t="s">
        <v>176</v>
      </c>
      <c r="F1" s="1" t="s">
        <v>177</v>
      </c>
    </row>
    <row r="2" spans="1:6" x14ac:dyDescent="0.3">
      <c r="A2" s="2"/>
      <c r="B2" s="5" t="s">
        <v>160</v>
      </c>
      <c r="C2" s="2"/>
    </row>
    <row r="3" spans="1:6" x14ac:dyDescent="0.3">
      <c r="A3" s="6">
        <v>1</v>
      </c>
      <c r="B3" s="2" t="s">
        <v>107</v>
      </c>
      <c r="C3" s="2" t="s">
        <v>45</v>
      </c>
      <c r="E3" s="1">
        <v>5</v>
      </c>
    </row>
    <row r="4" spans="1:6" x14ac:dyDescent="0.3">
      <c r="A4" s="6">
        <v>2</v>
      </c>
      <c r="B4" s="2" t="s">
        <v>46</v>
      </c>
      <c r="C4" s="2"/>
      <c r="E4" s="1">
        <v>5</v>
      </c>
    </row>
    <row r="5" spans="1:6" x14ac:dyDescent="0.3">
      <c r="A5" s="6">
        <v>3</v>
      </c>
      <c r="B5" s="2" t="s">
        <v>104</v>
      </c>
      <c r="C5" s="34">
        <f>SUMIF(H2:H40,"&gt;20")</f>
        <v>0</v>
      </c>
      <c r="E5" s="1">
        <v>10</v>
      </c>
    </row>
    <row r="6" spans="1:6" x14ac:dyDescent="0.3">
      <c r="A6" s="6">
        <v>4</v>
      </c>
      <c r="B6" s="2" t="s">
        <v>106</v>
      </c>
      <c r="C6" s="2"/>
      <c r="E6" s="1">
        <v>5</v>
      </c>
    </row>
    <row r="7" spans="1:6" x14ac:dyDescent="0.3">
      <c r="A7" s="2"/>
      <c r="B7" s="2"/>
      <c r="C7" s="2"/>
    </row>
    <row r="13" spans="1:6" x14ac:dyDescent="0.3">
      <c r="E13" s="2"/>
    </row>
    <row r="14" spans="1:6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L8" sqref="L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7">
        <f>VLOOKUP(A6,Dataset!A:G,7,0)</f>
        <v>2.7</v>
      </c>
      <c r="C6" s="7">
        <f>VLOOKUP(A6,Dataset!A:N,14,0)</f>
        <v>7.6</v>
      </c>
      <c r="D6" s="12">
        <f>VLOOKUP(A6,Dataset!A:R,18,0)</f>
        <v>4.2</v>
      </c>
      <c r="E6" s="12">
        <f>VLOOKUP(A6,Dataset!A:T,20,0)</f>
        <v>8.9</v>
      </c>
      <c r="F6" s="8">
        <f>VLOOKUP(A6,Dataset!A:V,22,0)</f>
        <v>4.2</v>
      </c>
    </row>
    <row r="7" spans="1:7" ht="14.4" x14ac:dyDescent="0.3">
      <c r="A7" s="7" t="s">
        <v>4</v>
      </c>
      <c r="B7" s="7">
        <f>VLOOKUP(A7,Dataset!A:G,7,0)</f>
        <v>2.7</v>
      </c>
      <c r="C7" s="12">
        <f>VLOOKUP(A7,Dataset!A:N,14,0)</f>
        <v>7.6</v>
      </c>
      <c r="D7" s="12">
        <f>VLOOKUP(A7,Dataset!A:R,18,0)</f>
        <v>4.2</v>
      </c>
      <c r="E7" s="12">
        <f>VLOOKUP(A7,Dataset!A:T,20,0)</f>
        <v>8.9</v>
      </c>
      <c r="F7" s="8">
        <f>VLOOKUP(A7,Dataset!A:V,22,0)</f>
        <v>4.2</v>
      </c>
    </row>
    <row r="8" spans="1:7" ht="14.4" x14ac:dyDescent="0.3">
      <c r="A8" s="7" t="s">
        <v>7</v>
      </c>
      <c r="B8" s="7">
        <f>VLOOKUP(A8,Dataset!A:G,7,0)</f>
        <v>3.6</v>
      </c>
      <c r="C8" s="12">
        <f>VLOOKUP(A8,Dataset!A:N,14,0)</f>
        <v>11.1</v>
      </c>
      <c r="D8" s="12">
        <f>VLOOKUP(A8,Dataset!A:R,18,0)</f>
        <v>5.8</v>
      </c>
      <c r="E8" s="12">
        <f>VLOOKUP(A8,Dataset!A:T,20,0)</f>
        <v>12.2</v>
      </c>
      <c r="F8" s="8">
        <f>VLOOKUP(A8,Dataset!A:V,22,0)</f>
        <v>5.8</v>
      </c>
    </row>
    <row r="9" spans="1:7" ht="14.4" x14ac:dyDescent="0.3">
      <c r="A9" s="7" t="s">
        <v>8</v>
      </c>
      <c r="B9" s="7">
        <f>VLOOKUP(A9,Dataset!A:G,7,0)</f>
        <v>4.9000000000000004</v>
      </c>
      <c r="C9" s="12">
        <f>VLOOKUP(A9,Dataset!A:N,14,0)</f>
        <v>13.3</v>
      </c>
      <c r="D9" s="12">
        <f>VLOOKUP(A9,Dataset!A:R,18,0)</f>
        <v>8.1</v>
      </c>
      <c r="E9" s="12">
        <f>VLOOKUP(A9,Dataset!A:T,20,0)</f>
        <v>17</v>
      </c>
      <c r="F9" s="8">
        <f>VLOOKUP(A9,Dataset!A:V,22,0)</f>
        <v>8.1</v>
      </c>
    </row>
    <row r="10" spans="1:7" ht="14.4" x14ac:dyDescent="0.3">
      <c r="A10" s="7" t="s">
        <v>11</v>
      </c>
      <c r="B10" s="7">
        <f>VLOOKUP(A10,Dataset!A:G,7,0)</f>
        <v>9.4</v>
      </c>
      <c r="C10" s="12">
        <f>VLOOKUP(A10,Dataset!A:N,14,0)</f>
        <v>28.3</v>
      </c>
      <c r="D10" s="12">
        <f>VLOOKUP(A10,Dataset!A:R,18,0)</f>
        <v>16.100000000000001</v>
      </c>
      <c r="E10" s="12">
        <f>VLOOKUP(A10,Dataset!A:T,20,0)</f>
        <v>32.799999999999997</v>
      </c>
      <c r="F10" s="8">
        <f>VLOOKUP(A10,Dataset!A:V,22,0)</f>
        <v>16.100000000000001</v>
      </c>
    </row>
    <row r="11" spans="1:7" ht="14.4" x14ac:dyDescent="0.3">
      <c r="A11" s="7" t="s">
        <v>12</v>
      </c>
      <c r="B11" s="7">
        <f>VLOOKUP(A11,Dataset!A:G,7,0)</f>
        <v>11.6</v>
      </c>
      <c r="C11" s="12">
        <f>VLOOKUP(A11,Dataset!A:N,14,0)</f>
        <v>35.200000000000003</v>
      </c>
      <c r="D11" s="12">
        <f>VLOOKUP(A11,Dataset!A:R,18,0)</f>
        <v>21.3</v>
      </c>
      <c r="E11" s="12">
        <f>VLOOKUP(A11,Dataset!A:T,20,0)</f>
        <v>43</v>
      </c>
      <c r="F11" s="8">
        <f>VLOOKUP(A11,Dataset!A:V,22,0)</f>
        <v>21.3</v>
      </c>
    </row>
    <row r="12" spans="1:7" ht="14.4" x14ac:dyDescent="0.3">
      <c r="A12" s="7" t="s">
        <v>14</v>
      </c>
      <c r="B12" s="7">
        <f>VLOOKUP(A12,Dataset!A:G,7,0)</f>
        <v>18.399999999999999</v>
      </c>
      <c r="C12" s="12">
        <f>VLOOKUP(A12,Dataset!A:N,14,0)</f>
        <v>55.6</v>
      </c>
      <c r="D12" s="12">
        <f>VLOOKUP(A12,Dataset!A:R,18,0)</f>
        <v>33.799999999999997</v>
      </c>
      <c r="E12" s="12">
        <f>VLOOKUP(A12,Dataset!A:T,20,0)</f>
        <v>67.900000000000006</v>
      </c>
      <c r="F12" s="8">
        <f>VLOOKUP(A12,Dataset!A:V,22,0)</f>
        <v>33.799999999999997</v>
      </c>
    </row>
    <row r="13" spans="1:7" ht="14.4" x14ac:dyDescent="0.3">
      <c r="A13" s="7" t="s">
        <v>15</v>
      </c>
      <c r="B13" s="7">
        <f>VLOOKUP(A13,Dataset!A:G,7,0)</f>
        <v>0</v>
      </c>
      <c r="C13" s="12">
        <f>VLOOKUP(A13,Dataset!A:N,14,0)</f>
        <v>0</v>
      </c>
      <c r="D13" s="12">
        <f>VLOOKUP(A13,Dataset!A:R,18,0)</f>
        <v>0</v>
      </c>
      <c r="E13" s="12">
        <f>VLOOKUP(A13,Dataset!A:T,20,0)</f>
        <v>0</v>
      </c>
      <c r="F13" s="8">
        <f>VLOOKUP(A13,Dataset!A:V,22,0)</f>
        <v>0</v>
      </c>
    </row>
    <row r="14" spans="1:7" ht="14.4" x14ac:dyDescent="0.3">
      <c r="A14" s="7" t="s">
        <v>16</v>
      </c>
      <c r="B14" s="7">
        <f>VLOOKUP(A14,Dataset!A:G,7,0)</f>
        <v>21.9</v>
      </c>
      <c r="C14" s="12">
        <f>VLOOKUP(A14,Dataset!A:N,14,0)</f>
        <v>61.5</v>
      </c>
      <c r="D14" s="12">
        <f>VLOOKUP(A14,Dataset!A:R,18,0)</f>
        <v>40.1</v>
      </c>
      <c r="E14" s="12">
        <f>VLOOKUP(A14,Dataset!A:T,20,0)</f>
        <v>76.599999999999994</v>
      </c>
      <c r="F14" s="8">
        <f>VLOOKUP(A14,Dataset!A:V,22,0)</f>
        <v>40.1</v>
      </c>
    </row>
    <row r="15" spans="1:7" ht="14.4" x14ac:dyDescent="0.3">
      <c r="A15" s="7" t="s">
        <v>18</v>
      </c>
      <c r="B15" s="7">
        <f>VLOOKUP(A15,Dataset!A:G,7,0)</f>
        <v>26.8</v>
      </c>
      <c r="C15" s="12">
        <f>VLOOKUP(A15,Dataset!A:N,14,0)</f>
        <v>79.599999999999994</v>
      </c>
      <c r="D15" s="12">
        <f>VLOOKUP(A15,Dataset!A:R,18,0)</f>
        <v>47.9</v>
      </c>
      <c r="E15" s="12">
        <f>VLOOKUP(A15,Dataset!A:T,20,0)</f>
        <v>96.8</v>
      </c>
      <c r="F15" s="8">
        <f>VLOOKUP(A15,Dataset!A:V,22,0)</f>
        <v>47.9</v>
      </c>
    </row>
    <row r="16" spans="1:7" ht="14.4" x14ac:dyDescent="0.3">
      <c r="A16" s="7" t="s">
        <v>20</v>
      </c>
      <c r="B16" s="7">
        <f>VLOOKUP(A16,Dataset!A:G,7,0)</f>
        <v>28.5</v>
      </c>
      <c r="C16" s="12">
        <f>VLOOKUP(A16,Dataset!A:N,14,0)</f>
        <v>85.4</v>
      </c>
      <c r="D16" s="12">
        <f>VLOOKUP(A16,Dataset!A:R,18,0)</f>
        <v>52.3</v>
      </c>
      <c r="E16" s="12">
        <f>VLOOKUP(A16,Dataset!A:T,20,0)</f>
        <v>106.1</v>
      </c>
      <c r="F16" s="8">
        <f>VLOOKUP(A16,Dataset!A:V,22,0)</f>
        <v>52.3</v>
      </c>
    </row>
    <row r="17" spans="1:6" ht="14.4" x14ac:dyDescent="0.3">
      <c r="A17" s="7" t="s">
        <v>22</v>
      </c>
      <c r="B17" s="7">
        <f>VLOOKUP(A17,Dataset!A:G,7,0)</f>
        <v>30.7</v>
      </c>
      <c r="C17" s="12">
        <f>VLOOKUP(A17,Dataset!A:N,14,0)</f>
        <v>92.1</v>
      </c>
      <c r="D17" s="12">
        <f>VLOOKUP(A17,Dataset!A:R,18,0)</f>
        <v>57</v>
      </c>
      <c r="E17" s="12">
        <f>VLOOKUP(A17,Dataset!A:T,20,0)</f>
        <v>115.1</v>
      </c>
      <c r="F17" s="8">
        <f>VLOOKUP(A17,Dataset!A:V,22,0)</f>
        <v>57</v>
      </c>
    </row>
    <row r="18" spans="1:6" ht="14.4" x14ac:dyDescent="0.3">
      <c r="A18" s="7" t="s">
        <v>23</v>
      </c>
      <c r="B18" s="7">
        <f>VLOOKUP(A18,Dataset!A:G,7,0)</f>
        <v>33.799999999999997</v>
      </c>
      <c r="C18" s="12">
        <f>VLOOKUP(A18,Dataset!A:N,14,0)</f>
        <v>101.3</v>
      </c>
      <c r="D18" s="12">
        <f>VLOOKUP(A18,Dataset!A:R,18,0)</f>
        <v>61.4</v>
      </c>
      <c r="E18" s="12">
        <f>VLOOKUP(A18,Dataset!A:T,20,0)</f>
        <v>124.4</v>
      </c>
      <c r="F18" s="8">
        <f>VLOOKUP(A18,Dataset!A:V,22,0)</f>
        <v>61.4</v>
      </c>
    </row>
    <row r="19" spans="1:6" ht="14.4" x14ac:dyDescent="0.3">
      <c r="A19" s="7" t="s">
        <v>24</v>
      </c>
      <c r="B19" s="7">
        <f>VLOOKUP(A19,Dataset!A:G,7,0)</f>
        <v>34.700000000000003</v>
      </c>
      <c r="C19" s="12">
        <f>VLOOKUP(A19,Dataset!A:N,14,0)</f>
        <v>106.1</v>
      </c>
      <c r="D19" s="12">
        <f>VLOOKUP(A19,Dataset!A:R,18,0)</f>
        <v>63.6</v>
      </c>
      <c r="E19" s="12">
        <f>VLOOKUP(A19,Dataset!A:T,20,0)</f>
        <v>128.6</v>
      </c>
      <c r="F19" s="8">
        <f>VLOOKUP(A19,Dataset!A:V,22,0)</f>
        <v>63.6</v>
      </c>
    </row>
    <row r="20" spans="1:6" ht="14.4" x14ac:dyDescent="0.3">
      <c r="A20" s="7" t="s">
        <v>28</v>
      </c>
      <c r="B20" s="7">
        <f>VLOOKUP(A20,Dataset!A:G,7,0)</f>
        <v>0</v>
      </c>
      <c r="C20" s="12">
        <f>VLOOKUP(A20,Dataset!A:N,14,0)</f>
        <v>0</v>
      </c>
      <c r="D20" s="12">
        <f>VLOOKUP(A20,Dataset!A:R,18,0)</f>
        <v>0</v>
      </c>
      <c r="E20" s="12">
        <f>VLOOKUP(A20,Dataset!A:T,20,0)</f>
        <v>0</v>
      </c>
      <c r="F20" s="8">
        <f>VLOOKUP(A20,Dataset!A:V,22,0)</f>
        <v>0</v>
      </c>
    </row>
    <row r="21" spans="1:6" ht="14.4" x14ac:dyDescent="0.3">
      <c r="A21" s="7" t="s">
        <v>57</v>
      </c>
      <c r="B21" s="7">
        <f>VLOOKUP(A21,Dataset!A:G,7,0)</f>
        <v>41.3</v>
      </c>
      <c r="C21" s="12">
        <f>VLOOKUP(A21,Dataset!A:N,14,0)</f>
        <v>124.4</v>
      </c>
      <c r="D21" s="12">
        <f>VLOOKUP(A21,Dataset!A:R,18,0)</f>
        <v>75</v>
      </c>
      <c r="E21" s="12">
        <f>VLOOKUP(A21,Dataset!A:T,20,0)</f>
        <v>151.5</v>
      </c>
      <c r="F21" s="8">
        <f>VLOOKUP(A21,Dataset!A:V,22,0)</f>
        <v>75</v>
      </c>
    </row>
    <row r="22" spans="1:6" ht="14.4" x14ac:dyDescent="0.3">
      <c r="A22" s="7" t="s">
        <v>58</v>
      </c>
      <c r="B22" s="7">
        <f>VLOOKUP(A22,Dataset!A:G,7,0)</f>
        <v>-1</v>
      </c>
      <c r="C22" s="12">
        <f>VLOOKUP(A22,Dataset!A:N,14,0)</f>
        <v>-1</v>
      </c>
      <c r="D22" s="12">
        <f>VLOOKUP(A22,Dataset!A:R,18,0)</f>
        <v>-1</v>
      </c>
      <c r="E22" s="12">
        <f>VLOOKUP(A22,Dataset!A:T,20,0)</f>
        <v>-1</v>
      </c>
      <c r="F22" s="8">
        <f>VLOOKUP(A22,Dataset!A:V,22,0)</f>
        <v>-1</v>
      </c>
    </row>
    <row r="23" spans="1:6" ht="14.4" x14ac:dyDescent="0.3">
      <c r="A23" s="7" t="s">
        <v>31</v>
      </c>
      <c r="B23" s="7">
        <f>VLOOKUP(A23,Dataset!A:G,7,0)</f>
        <v>45</v>
      </c>
      <c r="C23" s="12">
        <f>VLOOKUP(A23,Dataset!A:N,14,0)</f>
        <v>133.4</v>
      </c>
      <c r="D23" s="12">
        <f>VLOOKUP(A23,Dataset!A:R,18,0)</f>
        <v>79.400000000000006</v>
      </c>
      <c r="E23" s="12">
        <f>VLOOKUP(A23,Dataset!A:T,20,0)</f>
        <v>160.9</v>
      </c>
      <c r="F23" s="8">
        <f>VLOOKUP(A23,Dataset!A:V,22,0)</f>
        <v>79.400000000000006</v>
      </c>
    </row>
    <row r="24" spans="1:6" ht="14.4" x14ac:dyDescent="0.3">
      <c r="A24" s="7" t="s">
        <v>32</v>
      </c>
      <c r="B24" s="7">
        <f>VLOOKUP(A24,Dataset!A:G,7,0)</f>
        <v>-1</v>
      </c>
      <c r="C24" s="12">
        <f>VLOOKUP(A24,Dataset!A:N,14,0)</f>
        <v>-1</v>
      </c>
      <c r="D24" s="12">
        <f>VLOOKUP(A24,Dataset!A:R,18,0)</f>
        <v>-1</v>
      </c>
      <c r="E24" s="12">
        <f>VLOOKUP(A24,Dataset!A:T,20,0)</f>
        <v>-1</v>
      </c>
      <c r="F24" s="8">
        <f>VLOOKUP(A24,Dataset!A:V,22,0)</f>
        <v>-1</v>
      </c>
    </row>
    <row r="25" spans="1:6" ht="14.4" x14ac:dyDescent="0.3">
      <c r="A25" s="7" t="s">
        <v>34</v>
      </c>
      <c r="B25" s="7">
        <f>VLOOKUP(A25,Dataset!A:G,7,0)</f>
        <v>43.3</v>
      </c>
      <c r="C25" s="12">
        <f>VLOOKUP(A25,Dataset!A:N,14,0)</f>
        <v>128.6</v>
      </c>
      <c r="D25" s="12">
        <f>VLOOKUP(A25,Dataset!A:R,18,0)</f>
        <v>79.400000000000006</v>
      </c>
      <c r="E25" s="12">
        <f>VLOOKUP(A25,Dataset!A:T,20,0)</f>
        <v>160.9</v>
      </c>
      <c r="F25" s="8">
        <f>VLOOKUP(A25,Dataset!A:V,22,0)</f>
        <v>79.400000000000006</v>
      </c>
    </row>
    <row r="26" spans="1:6" ht="14.4" x14ac:dyDescent="0.3">
      <c r="A26" s="7" t="s">
        <v>37</v>
      </c>
      <c r="B26" s="7">
        <f>VLOOKUP(A26,Dataset!A:G,7,0)</f>
        <v>49.1</v>
      </c>
      <c r="C26" s="12">
        <f>VLOOKUP(A26,Dataset!A:N,14,0)</f>
        <v>146.80000000000001</v>
      </c>
      <c r="D26" s="12">
        <f>VLOOKUP(A26,Dataset!A:R,18,0)</f>
        <v>90.9</v>
      </c>
      <c r="E26" s="12">
        <f>VLOOKUP(A26,Dataset!A:T,20,0)</f>
        <v>183.5</v>
      </c>
      <c r="F26" s="8">
        <f>VLOOKUP(A26,Dataset!A:V,22,0)</f>
        <v>90.9</v>
      </c>
    </row>
    <row r="27" spans="1:6" ht="14.4" x14ac:dyDescent="0.3">
      <c r="A27" s="7" t="s">
        <v>39</v>
      </c>
      <c r="B27" s="7">
        <f>VLOOKUP(A27,Dataset!A:G,7,0)</f>
        <v>51.8</v>
      </c>
      <c r="C27" s="12">
        <f>VLOOKUP(A27,Dataset!A:N,14,0)</f>
        <v>156.4</v>
      </c>
      <c r="D27" s="12">
        <f>VLOOKUP(A27,Dataset!A:R,18,0)</f>
        <v>93.1</v>
      </c>
      <c r="E27" s="12">
        <f>VLOOKUP(A27,Dataset!A:T,20,0)</f>
        <v>188.1</v>
      </c>
      <c r="F27" s="8">
        <f>VLOOKUP(A27,Dataset!A:V,22,0)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 t="shared" ref="C28:F28" si="0">MIN(D6:D27)</f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46">
        <f>AVERAGE(B6:B27)</f>
        <v>20.827272727272728</v>
      </c>
      <c r="C30" s="46">
        <f>AVERAGE(C6:C27)</f>
        <v>62.377272727272725</v>
      </c>
      <c r="D30" s="46">
        <f>AVERAGE(D6:D27)</f>
        <v>37.800000000000004</v>
      </c>
      <c r="E30" s="46">
        <f>AVERAGE(E6:E27)</f>
        <v>76.418181818181822</v>
      </c>
      <c r="F30" s="46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H9" sqref="H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5" style="2" bestFit="1" customWidth="1"/>
    <col min="2" max="2" width="32.6640625" style="2" customWidth="1"/>
    <col min="3" max="3" width="11" style="2" bestFit="1" customWidth="1"/>
    <col min="4" max="4" width="19.5546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9" ht="21" x14ac:dyDescent="0.4">
      <c r="A1" s="42" t="s">
        <v>85</v>
      </c>
      <c r="B1" s="47" t="s">
        <v>167</v>
      </c>
      <c r="C1" s="47"/>
      <c r="D1" s="47"/>
      <c r="E1" s="47"/>
      <c r="F1" s="47"/>
      <c r="G1" s="47"/>
      <c r="H1" s="47"/>
      <c r="I1" s="47"/>
    </row>
    <row r="2" spans="1:9" ht="18" x14ac:dyDescent="0.35">
      <c r="B2" s="40" t="s">
        <v>166</v>
      </c>
    </row>
    <row r="5" spans="1:9" ht="14.4" x14ac:dyDescent="0.3">
      <c r="B5" s="1" t="s">
        <v>151</v>
      </c>
    </row>
    <row r="6" spans="1:9" ht="14.4" x14ac:dyDescent="0.3">
      <c r="A6" s="3" t="s">
        <v>53</v>
      </c>
      <c r="B6" s="1" t="s">
        <v>178</v>
      </c>
    </row>
    <row r="7" spans="1:9" ht="14.4" x14ac:dyDescent="0.3">
      <c r="A7" s="3" t="s">
        <v>153</v>
      </c>
      <c r="B7" s="1" t="s">
        <v>181</v>
      </c>
    </row>
    <row r="8" spans="1:9" x14ac:dyDescent="0.3">
      <c r="B8" s="2" t="s">
        <v>180</v>
      </c>
    </row>
    <row r="10" spans="1:9" ht="23.4" x14ac:dyDescent="0.45">
      <c r="A10" s="18" t="s">
        <v>162</v>
      </c>
    </row>
    <row r="11" spans="1:9" ht="14.4" x14ac:dyDescent="0.3">
      <c r="A11" s="32" t="s">
        <v>86</v>
      </c>
      <c r="B11" s="17" t="s">
        <v>87</v>
      </c>
      <c r="C11" s="17" t="s">
        <v>88</v>
      </c>
      <c r="D11" s="25" t="s">
        <v>179</v>
      </c>
    </row>
    <row r="12" spans="1:9" ht="14.4" x14ac:dyDescent="0.3">
      <c r="A12" s="32">
        <v>44927</v>
      </c>
      <c r="B12" s="17" t="s">
        <v>59</v>
      </c>
      <c r="C12" s="17">
        <v>200</v>
      </c>
      <c r="D12" s="25">
        <f>_xlfn.IFNA(C12,20)</f>
        <v>200</v>
      </c>
    </row>
    <row r="13" spans="1:9" ht="14.4" x14ac:dyDescent="0.3">
      <c r="A13" s="32">
        <v>44928</v>
      </c>
      <c r="B13" s="17" t="s">
        <v>60</v>
      </c>
      <c r="C13" s="17" t="e">
        <v>#N/A</v>
      </c>
      <c r="D13" s="25">
        <f>_xlfn.IFNA(C13,20)</f>
        <v>20</v>
      </c>
    </row>
    <row r="14" spans="1:9" ht="14.4" x14ac:dyDescent="0.3">
      <c r="A14" s="32">
        <v>44929</v>
      </c>
      <c r="B14" s="17" t="s">
        <v>61</v>
      </c>
      <c r="C14" s="17">
        <v>50</v>
      </c>
      <c r="D14" s="25">
        <f>_xlfn.IFNA(C14,20)</f>
        <v>50</v>
      </c>
    </row>
    <row r="15" spans="1:9" ht="14.4" x14ac:dyDescent="0.3">
      <c r="A15" s="32">
        <v>44930</v>
      </c>
      <c r="B15" s="17" t="s">
        <v>62</v>
      </c>
      <c r="C15" s="17" t="e">
        <v>#N/A</v>
      </c>
      <c r="D15" s="25">
        <f>_xlfn.IFNA(C15,20)</f>
        <v>20</v>
      </c>
    </row>
    <row r="16" spans="1:9" ht="14.4" x14ac:dyDescent="0.3">
      <c r="A16" s="32">
        <v>44931</v>
      </c>
      <c r="B16" s="17" t="s">
        <v>63</v>
      </c>
      <c r="C16" s="17">
        <v>10</v>
      </c>
      <c r="D16" s="25">
        <f t="shared" ref="D13:D21" si="0">_xlfn.IFNA(C16,20)</f>
        <v>10</v>
      </c>
    </row>
    <row r="17" spans="1:4" ht="14.4" x14ac:dyDescent="0.3">
      <c r="A17" s="32">
        <v>44932</v>
      </c>
      <c r="B17" s="17" t="s">
        <v>154</v>
      </c>
      <c r="C17" s="17">
        <v>150</v>
      </c>
      <c r="D17" s="25">
        <f>_xlfn.IFNA(C17,20)</f>
        <v>150</v>
      </c>
    </row>
    <row r="18" spans="1:4" ht="14.4" x14ac:dyDescent="0.3">
      <c r="A18" s="32">
        <v>44933</v>
      </c>
      <c r="B18" s="17" t="s">
        <v>155</v>
      </c>
      <c r="C18" s="17">
        <v>80</v>
      </c>
      <c r="D18" s="25">
        <f>_xlfn.IFNA(C18,20)</f>
        <v>80</v>
      </c>
    </row>
    <row r="19" spans="1:4" ht="14.4" x14ac:dyDescent="0.3">
      <c r="A19" s="32">
        <v>44934</v>
      </c>
      <c r="B19" s="17" t="s">
        <v>156</v>
      </c>
      <c r="C19" s="17" t="e">
        <v>#N/A</v>
      </c>
      <c r="D19" s="25">
        <f t="shared" si="0"/>
        <v>20</v>
      </c>
    </row>
    <row r="20" spans="1:4" ht="14.4" x14ac:dyDescent="0.3">
      <c r="A20" s="32">
        <v>44935</v>
      </c>
      <c r="B20" s="17" t="s">
        <v>157</v>
      </c>
      <c r="C20" s="17">
        <v>30</v>
      </c>
      <c r="D20" s="25">
        <f>_xlfn.IFNA(C20,20)</f>
        <v>30</v>
      </c>
    </row>
    <row r="21" spans="1:4" ht="14.4" x14ac:dyDescent="0.3">
      <c r="A21" s="32">
        <v>44936</v>
      </c>
      <c r="B21" s="17" t="s">
        <v>158</v>
      </c>
      <c r="C21" s="17" t="e">
        <v>#N/A</v>
      </c>
      <c r="D21" s="25">
        <f>_xlfn.IFNA(C21,20)</f>
        <v>20</v>
      </c>
    </row>
    <row r="22" spans="1:4" ht="14.4" x14ac:dyDescent="0.3">
      <c r="B22" s="13" t="s">
        <v>159</v>
      </c>
      <c r="C22" s="49">
        <f>SUM(D12:D21)</f>
        <v>600</v>
      </c>
      <c r="D22" s="50"/>
    </row>
  </sheetData>
  <mergeCells count="2">
    <mergeCell ref="B1:I1"/>
    <mergeCell ref="C22:D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3" zoomScaleNormal="100" workbookViewId="0">
      <selection activeCell="C22" sqref="C22"/>
    </sheetView>
  </sheetViews>
  <sheetFormatPr defaultColWidth="11" defaultRowHeight="13.8" x14ac:dyDescent="0.3"/>
  <cols>
    <col min="1" max="1" width="31.5546875" style="2" bestFit="1" customWidth="1"/>
    <col min="2" max="4" width="11" style="2"/>
    <col min="5" max="5" width="11.5546875" style="2" customWidth="1"/>
    <col min="6" max="7" width="11" style="2"/>
    <col min="8" max="8" width="19.5546875" style="2" bestFit="1" customWidth="1"/>
    <col min="9" max="9" width="11" style="2"/>
    <col min="10" max="10" width="9.77734375" style="2" customWidth="1"/>
    <col min="11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52" t="s">
        <v>183</v>
      </c>
    </row>
    <row r="5" spans="1:14" ht="148.80000000000001" customHeight="1" x14ac:dyDescent="0.35">
      <c r="A5" s="43" t="s">
        <v>153</v>
      </c>
      <c r="B5" s="53" t="s">
        <v>182</v>
      </c>
      <c r="C5" s="53"/>
      <c r="D5" s="53"/>
      <c r="E5" s="53"/>
      <c r="F5" s="53"/>
      <c r="G5" s="53"/>
      <c r="H5" s="53"/>
      <c r="I5" s="53"/>
      <c r="J5" s="53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51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51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51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51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51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51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51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51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51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INDEX($A$9:$J$18,MATCH(VLOOKUP(A23,$M$10:$N$18,2,0),$A$9:$A$18,0),MATCH(VLOOKUP(B23,$M$9:$N$18,2,0),$A$9:$J$9,0))</f>
        <v>95</v>
      </c>
    </row>
    <row r="24" spans="1:14" ht="14.4" x14ac:dyDescent="0.3">
      <c r="A24" s="7">
        <v>10100</v>
      </c>
      <c r="B24" s="12">
        <v>10104</v>
      </c>
      <c r="C24" s="44">
        <f>INDEX($A$9:$J$18,MATCH(VLOOKUP(A24,$M$10:$N$18,2,0),$A$9:$A$18,0),MATCH(VLOOKUP(B24,$M$9:$N$18,2,0),$A$9:$J$9,0))</f>
        <v>-1</v>
      </c>
    </row>
    <row r="25" spans="1:14" ht="14.4" x14ac:dyDescent="0.3">
      <c r="A25" s="7">
        <v>10108</v>
      </c>
      <c r="B25" s="12">
        <v>10102</v>
      </c>
      <c r="C25" s="44">
        <f>INDEX($A$9:$J$18,MATCH(VLOOKUP(A25,$M$10:$N$18,2,0),$A$9:$A$18,0),MATCH(VLOOKUP(B25,$M$9:$N$18,2,0),$A$9:$J$9,0))</f>
        <v>160</v>
      </c>
    </row>
    <row r="26" spans="1:14" ht="14.4" x14ac:dyDescent="0.3">
      <c r="A26" s="7">
        <v>10100</v>
      </c>
      <c r="B26" s="12">
        <v>10106</v>
      </c>
      <c r="C26" s="44">
        <f>INDEX($A$9:$J$18,MATCH(VLOOKUP(A26,$M$10:$N$18,2,0),$A$9:$A$18,0),MATCH(VLOOKUP(B26,$M$9:$N$18,2,0),$A$9:$J$9,0))</f>
        <v>185</v>
      </c>
    </row>
    <row r="27" spans="1:14" ht="14.4" x14ac:dyDescent="0.3">
      <c r="A27" s="7">
        <v>10108</v>
      </c>
      <c r="B27" s="12">
        <v>10110</v>
      </c>
      <c r="C27" s="44">
        <f>INDEX($A$9:$J$18,MATCH(VLOOKUP(A27,$M$10:$N$18,2,0),$A$9:$A$18,0),MATCH(VLOOKUP(B27,$M$9:$N$18,2,0),$A$9:$J$9,0))</f>
        <v>50</v>
      </c>
    </row>
    <row r="28" spans="1:14" ht="14.4" x14ac:dyDescent="0.3">
      <c r="A28" s="7">
        <v>10102</v>
      </c>
      <c r="B28" s="12">
        <v>10104</v>
      </c>
      <c r="C28" s="44">
        <f>INDEX($A$9:$J$18,MATCH(VLOOKUP(A28,$M$10:$N$18,2,0),$A$9:$A$18,0),MATCH(VLOOKUP(B28,$M$9:$N$18,2,0),$A$9:$J$9,0))</f>
        <v>-1</v>
      </c>
    </row>
    <row r="29" spans="1:14" ht="14.4" x14ac:dyDescent="0.3">
      <c r="A29" s="7">
        <v>10106</v>
      </c>
      <c r="B29" s="12">
        <v>10108</v>
      </c>
      <c r="C29" s="44">
        <f>INDEX($A$9:$J$18,MATCH(VLOOKUP(A29,$M$10:$N$18,2,0),$A$9:$A$18,0),MATCH(VLOOKUP(B29,$M$9:$N$18,2,0),$A$9:$J$9,0))</f>
        <v>70</v>
      </c>
    </row>
    <row r="30" spans="1:14" ht="14.4" x14ac:dyDescent="0.3">
      <c r="A30" s="7">
        <v>10102</v>
      </c>
      <c r="B30" s="12">
        <v>10106</v>
      </c>
      <c r="C30" s="44">
        <f>INDEX($A$9:$J$18,MATCH(VLOOKUP(A30,$M$10:$N$18,2,0),$A$9:$A$18,0),MATCH(VLOOKUP(B30,$M$9:$N$18,2,0),$A$9:$J$9,0))</f>
        <v>90</v>
      </c>
    </row>
    <row r="31" spans="1:14" ht="14.4" x14ac:dyDescent="0.3">
      <c r="A31" s="7">
        <v>10110</v>
      </c>
      <c r="B31" s="12">
        <v>10114</v>
      </c>
      <c r="C31" s="44">
        <f>INDEX($A$9:$J$18,MATCH(VLOOKUP(A31,$M$10:$N$18,2,0),$A$9:$A$18,0),MATCH(VLOOKUP(B31,$M$9:$N$18,2,0),$A$9:$J$9,0))</f>
        <v>180</v>
      </c>
    </row>
    <row r="32" spans="1:14" ht="14.4" x14ac:dyDescent="0.3">
      <c r="A32" s="7">
        <v>10104</v>
      </c>
      <c r="B32" s="12">
        <v>10106</v>
      </c>
      <c r="C32" s="44">
        <f>INDEX($A$9:$J$18,MATCH(VLOOKUP(A32,$M$10:$N$18,2,0),$A$9:$A$18,0),MATCH(VLOOKUP(B32,$M$9:$N$18,2,0),$A$9:$J$9,0))</f>
        <v>60</v>
      </c>
    </row>
    <row r="33" spans="1:3" ht="14.4" x14ac:dyDescent="0.3">
      <c r="A33" s="7">
        <v>10110</v>
      </c>
      <c r="B33" s="12">
        <v>10112</v>
      </c>
      <c r="C33" s="44">
        <f>INDEX($A$9:$J$18,MATCH(VLOOKUP(A33,$M$10:$N$18,2,0),$A$9:$A$18,0),MATCH(VLOOKUP(B33,$M$9:$N$18,2,0),$A$9:$J$9,0))</f>
        <v>115</v>
      </c>
    </row>
    <row r="34" spans="1:3" ht="14.4" x14ac:dyDescent="0.3">
      <c r="A34" s="7">
        <v>10100</v>
      </c>
      <c r="B34" s="12">
        <v>10114</v>
      </c>
      <c r="C34" s="44">
        <f>INDEX($A$9:$J$18,MATCH(VLOOKUP(A34,$M$10:$N$18,2,0),$A$9:$A$18,0),MATCH(VLOOKUP(B34,$M$9:$N$18,2,0),$A$9:$J$9,0))</f>
        <v>480</v>
      </c>
    </row>
    <row r="35" spans="1:3" ht="14.4" x14ac:dyDescent="0.3">
      <c r="A35" s="9">
        <v>10112</v>
      </c>
      <c r="B35" s="13">
        <v>10116</v>
      </c>
      <c r="C35" s="48">
        <f>INDEX($A$9:$J$18,MATCH(VLOOKUP(A35,$M$10:$N$18,2,0),$A$9:$A$18,0),MATCH(VLOOKUP(B35,$M$9:$N$18,2,0),$A$9:$J$9,0))</f>
        <v>105</v>
      </c>
    </row>
  </sheetData>
  <mergeCells count="1">
    <mergeCell ref="B5:J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AKASH VINODIYA</cp:lastModifiedBy>
  <dcterms:created xsi:type="dcterms:W3CDTF">2015-02-10T17:33:11Z</dcterms:created>
  <dcterms:modified xsi:type="dcterms:W3CDTF">2023-12-09T19:54:25Z</dcterms:modified>
</cp:coreProperties>
</file>